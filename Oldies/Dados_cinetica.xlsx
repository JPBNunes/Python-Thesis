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lhos\Tese de mestrado\"/>
    </mc:Choice>
  </mc:AlternateContent>
  <bookViews>
    <workbookView xWindow="0" yWindow="0" windowWidth="11496" windowHeight="8592"/>
  </bookViews>
  <sheets>
    <sheet name="Ko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A4" i="1"/>
  <c r="R4" i="1" l="1"/>
  <c r="E4" i="1"/>
  <c r="U4" i="1"/>
  <c r="O4" i="1"/>
  <c r="M4" i="1"/>
  <c r="J4" i="1"/>
  <c r="G4" i="1"/>
  <c r="F4" i="1"/>
</calcChain>
</file>

<file path=xl/sharedStrings.xml><?xml version="1.0" encoding="utf-8"?>
<sst xmlns="http://schemas.openxmlformats.org/spreadsheetml/2006/main" count="24" uniqueCount="24">
  <si>
    <t>T0</t>
  </si>
  <si>
    <t>k0,eq</t>
  </si>
  <si>
    <t>k0</t>
  </si>
  <si>
    <t>Ea</t>
  </si>
  <si>
    <t>Ea,eq</t>
  </si>
  <si>
    <t>neq</t>
  </si>
  <si>
    <t>Aeq</t>
  </si>
  <si>
    <t>Beq</t>
  </si>
  <si>
    <t>Ceq</t>
  </si>
  <si>
    <t>Hoh</t>
  </si>
  <si>
    <t>Boh</t>
  </si>
  <si>
    <t>Ah2</t>
  </si>
  <si>
    <t>Aoh</t>
  </si>
  <si>
    <t>Hh2</t>
  </si>
  <si>
    <t>Bh2</t>
  </si>
  <si>
    <t>Hmix</t>
  </si>
  <si>
    <t>Amix</t>
  </si>
  <si>
    <t>Bmix</t>
  </si>
  <si>
    <t>p_H2</t>
  </si>
  <si>
    <t>p_CO2</t>
  </si>
  <si>
    <t>p_CH4</t>
  </si>
  <si>
    <t>p_H2O</t>
  </si>
  <si>
    <t>T</t>
  </si>
  <si>
    <t>T em Celcius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</si>
</sst>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A4" sqref="A4"/>
    </sheetView>
  </sheetViews>
  <sheetFormatPr defaultRowHeight="14.4" x14ac:dyDescent="0.3"/>
  <cols>
    <col min="1" max="1" width="11.109375" bestFit="1" customWidth="1"/>
    <col min="6" max="6" width="10" bestFit="1" customWidth="1"/>
    <col min="7" max="7" width="8.6640625" bestFit="1" customWidth="1"/>
    <col min="13" max="13" width="10" bestFit="1" customWidth="1"/>
  </cols>
  <sheetData>
    <row r="1" spans="1:23" x14ac:dyDescent="0.3">
      <c r="A1" t="s">
        <v>23</v>
      </c>
      <c r="B1">
        <v>300</v>
      </c>
    </row>
    <row r="3" spans="1:2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</v>
      </c>
      <c r="G3" t="s">
        <v>3</v>
      </c>
      <c r="H3" t="s">
        <v>0</v>
      </c>
      <c r="I3" t="s">
        <v>1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12</v>
      </c>
      <c r="Q3" t="s">
        <v>10</v>
      </c>
      <c r="R3" t="s">
        <v>13</v>
      </c>
      <c r="S3" t="s">
        <v>11</v>
      </c>
      <c r="T3" t="s">
        <v>14</v>
      </c>
      <c r="U3" t="s">
        <v>15</v>
      </c>
      <c r="V3" t="s">
        <v>16</v>
      </c>
      <c r="W3" t="s">
        <v>17</v>
      </c>
    </row>
    <row r="4" spans="1:23" x14ac:dyDescent="0.3">
      <c r="A4">
        <f>0.8*8</f>
        <v>6.4</v>
      </c>
      <c r="B4">
        <f>0.2*8</f>
        <v>1.6</v>
      </c>
      <c r="C4">
        <v>0</v>
      </c>
      <c r="D4">
        <v>0</v>
      </c>
      <c r="E4">
        <f>273.15+B1</f>
        <v>573.15</v>
      </c>
      <c r="F4">
        <f>3.46*10^-5</f>
        <v>3.4600000000000001E-5</v>
      </c>
      <c r="G4">
        <f>77.5*10^3</f>
        <v>77500</v>
      </c>
      <c r="H4">
        <v>555</v>
      </c>
      <c r="I4">
        <v>137</v>
      </c>
      <c r="J4">
        <f>158.7*10^3</f>
        <v>158700</v>
      </c>
      <c r="K4">
        <v>-3.9980000000000002</v>
      </c>
      <c r="L4">
        <v>0.20300000000000001</v>
      </c>
      <c r="M4">
        <f>5.24*10^-5</f>
        <v>5.2400000000000007E-5</v>
      </c>
      <c r="N4">
        <v>-0.25</v>
      </c>
      <c r="O4">
        <f>22.4*10^3</f>
        <v>22400</v>
      </c>
      <c r="P4">
        <v>0.5</v>
      </c>
      <c r="Q4">
        <v>-2694.25</v>
      </c>
      <c r="R4">
        <f>-6.2*10^3</f>
        <v>-6200</v>
      </c>
      <c r="S4">
        <v>0.44</v>
      </c>
      <c r="T4">
        <v>745.73</v>
      </c>
      <c r="U4">
        <f>-10*10^3</f>
        <v>-10000</v>
      </c>
      <c r="V4">
        <v>0.88</v>
      </c>
      <c r="W4">
        <v>1202.79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Koz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Nunes</dc:creator>
  <cp:lastModifiedBy>João Nunes</cp:lastModifiedBy>
  <dcterms:created xsi:type="dcterms:W3CDTF">2026-02-02T10:36:04Z</dcterms:created>
  <dcterms:modified xsi:type="dcterms:W3CDTF">2026-02-02T11:04:31Z</dcterms:modified>
</cp:coreProperties>
</file>